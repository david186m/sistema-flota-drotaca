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80048BA-321F-494D-9451-0CCB5B79CF23}" xr6:coauthVersionLast="47" xr6:coauthVersionMax="47" xr10:uidLastSave="{00000000-0000-0000-0000-000000000000}"/>
  <bookViews>
    <workbookView xWindow="-108" yWindow="-108" windowWidth="23256" windowHeight="12456" xr2:uid="{4EE91162-B3EC-4037-9BAB-2E3C309DEFEA}"/>
  </bookViews>
  <sheets>
    <sheet name="RECORRIDO MENSUAL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actividades">[2]Consultas!$C$178:$C$193</definedName>
    <definedName name="Ayudantes">[3]!Tabla17[ayudantes]</definedName>
    <definedName name="CARRO">[4]!Tabla112[[#All],[UNIDAD]]</definedName>
    <definedName name="Chofer">[3]!tbl_Chofer[Chofer]</definedName>
    <definedName name="chofer2">INDIRECT([5]Hoja5!$N$40)</definedName>
    <definedName name="choferv1">INDIRECT([5]Hoja5!$F$40)</definedName>
    <definedName name="Condicion">[3]ESTATUS!$A$25:$A$31</definedName>
    <definedName name="CRITERIO">'[6]FR-OPR-028'!$ALY$2603:$ALY$2605</definedName>
    <definedName name="Estatus">[7]!Tabla5[Estatus Reporte]</definedName>
    <definedName name="FOTORUTA" localSheetId="0">INDIRECT([8]DISTANCIAS!$I$9)</definedName>
    <definedName name="FOTORUTA">INDIRECT([4]DISTANCIAS!$I$9)</definedName>
    <definedName name="FromOrganiz_1">_xlfn.ANCHORARRAY('[1]HISTORIAL + KM'!$G$348)</definedName>
    <definedName name="Intervencion">[7]!Tabla4[Tipo de intervención]</definedName>
    <definedName name="NativeTimeline_FECHA">#N/A</definedName>
    <definedName name="NativeTimeline_FECHA_DE_ENTREGA">#N/A</definedName>
    <definedName name="NativeTimeline_FECHA_DE_ENTREGA1">#N/A</definedName>
    <definedName name="NativeTimeline_FECHA1">#N/A</definedName>
    <definedName name="NativeTimeline_FECHA2">#N/A</definedName>
    <definedName name="NativeTimeline_FECHA3">#N/A</definedName>
    <definedName name="NativeTimeline_FECHA4">#N/A</definedName>
    <definedName name="NativeTimeline_FECHA5">#N/A</definedName>
    <definedName name="NativeTimeline_FECHA6">#N/A</definedName>
    <definedName name="NativeTimeline_FECHA7">#N/A</definedName>
    <definedName name="NativeTimeline_FECHA8">#N/A</definedName>
    <definedName name="NativeTimeline_FECHA9">#N/A</definedName>
    <definedName name="placas">[2]Consultas!$A$179:$A$216</definedName>
    <definedName name="Sistema">[7]!Tbl_Sistemas[Sistemas]</definedName>
    <definedName name="Tabla_Status">[3]!Tabla9[#Data]</definedName>
    <definedName name="TBL_UNIDADES">[3]!TBL_PLACAS_TIPO[#Data]</definedName>
    <definedName name="unidad">[3]!Tbl_Und[Unidad]</definedName>
    <definedName name="Unidades">[3]Kilometrajes!$E$4:$E$56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2" i="1" l="1"/>
  <c r="K72" i="1" l="1"/>
  <c r="I72" i="1"/>
</calcChain>
</file>

<file path=xl/sharedStrings.xml><?xml version="1.0" encoding="utf-8"?>
<sst xmlns="http://schemas.openxmlformats.org/spreadsheetml/2006/main" count="13" uniqueCount="13">
  <si>
    <t>ITEM</t>
  </si>
  <si>
    <t>RUTA</t>
  </si>
  <si>
    <t>RECORRIDO PROMEDIO DIARIO</t>
  </si>
  <si>
    <t>RECORRIDO PROMEDIO SEMANAL</t>
  </si>
  <si>
    <t>RECORRIDO PROMEDIO MENSUAL</t>
  </si>
  <si>
    <t>MARZO</t>
  </si>
  <si>
    <t>INFORME MENSUAL - RUTA ORIENTE 2026</t>
  </si>
  <si>
    <t>Placa</t>
  </si>
  <si>
    <t>Modelo</t>
  </si>
  <si>
    <t>Grupo</t>
  </si>
  <si>
    <t>Estatus_Unidad</t>
  </si>
  <si>
    <t>Estatus GPS</t>
  </si>
  <si>
    <t>Km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</si>
</sst>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Kms&quot;"/>
  </numFmts>
  <fonts count="7" x14ac:knownFonts="1">
    <font>
      <sz val="11"/>
      <color theme="1"/>
      <name val="Calibri"/>
      <family val="2"/>
      <scheme val="minor"/>
    </font>
    <font>
      <b/>
      <sz val="72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4" fontId="5" fillId="2" borderId="5" xfId="0" applyNumberFormat="1" applyFont="1" applyFill="1" applyBorder="1" applyAlignment="1">
      <alignment horizontal="center" vertical="center" wrapText="1"/>
    </xf>
    <xf numFmtId="164" fontId="5" fillId="2" borderId="2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64" fontId="5" fillId="2" borderId="5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64" fontId="5" fillId="2" borderId="6" xfId="0" applyNumberFormat="1" applyFont="1" applyFill="1" applyBorder="1" applyAlignment="1">
      <alignment horizontal="center" vertical="center"/>
    </xf>
    <xf numFmtId="164" fontId="5" fillId="2" borderId="7" xfId="0" applyNumberFormat="1" applyFont="1" applyFill="1" applyBorder="1" applyAlignment="1">
      <alignment horizontal="center" vertical="center"/>
    </xf>
    <xf numFmtId="164" fontId="5" fillId="2" borderId="3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64" fontId="5" fillId="2" borderId="4" xfId="0" applyNumberFormat="1" applyFont="1" applyFill="1" applyBorder="1" applyAlignment="1">
      <alignment horizontal="center" vertical="center"/>
    </xf>
    <xf numFmtId="164" fontId="3" fillId="3" borderId="5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5"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1"/>
        <name val="Calibri"/>
        <family val="2"/>
        <scheme val="minor"/>
      </font>
      <numFmt numFmtId="164" formatCode="#,##0&quot; Kms&quot;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1"/>
        <name val="Calibri"/>
        <family val="2"/>
        <scheme val="minor"/>
      </font>
      <numFmt numFmtId="164" formatCode="#,##0&quot; Kms&quot;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1"/>
        <name val="Calibri"/>
        <family val="2"/>
        <scheme val="minor"/>
      </font>
      <numFmt numFmtId="164" formatCode="#,##0&quot; Kms&quot;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medium">
          <color indexed="64"/>
        </vertical>
        <horizontal/>
      </border>
    </dxf>
    <dxf>
      <numFmt numFmtId="164" formatCode="#,##0&quot; Kms&quot;"/>
      <border diagonalUp="0" diagonalDown="0">
        <top style="thick">
          <color indexed="64"/>
        </top>
        <bottom style="thick">
          <color indexed="64"/>
        </bottom>
        <horizontal style="thick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theme="0"/>
        <name val="Calibri"/>
        <family val="2"/>
        <scheme val="minor"/>
      </font>
      <numFmt numFmtId="164" formatCode="#,##0&quot; Kms&quot;"/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/>
        <top style="thick">
          <color indexed="64"/>
        </top>
        <bottom style="thick">
          <color indexed="64"/>
        </bottom>
        <vertical/>
        <horizontal style="thick">
          <color indexed="64"/>
        </horizontal>
      </border>
    </dxf>
    <dxf>
      <border>
        <bottom style="thick">
          <color indexed="64"/>
        </bottom>
      </border>
    </dxf>
    <dxf>
      <font>
        <b/>
        <sz val="36"/>
        <color theme="0"/>
      </font>
      <numFmt numFmtId="164" formatCode="#,##0&quot; Kms&quot;"/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theme="1"/>
        <name val="Calibri"/>
        <family val="2"/>
        <scheme val="minor"/>
      </font>
      <numFmt numFmtId="164" formatCode="#,##0&quot; Kms&quot;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</dxf>
    <dxf>
      <numFmt numFmtId="164" formatCode="#,##0&quot; Kms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medium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8"/>
        <color theme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/>
        <right style="thick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2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48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ck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RECORRIDO MENSUAL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1498600</xdr:colOff>
      <xdr:row>0</xdr:row>
      <xdr:rowOff>2565400</xdr:rowOff>
    </xdr:to>
    <xdr:pic>
      <xdr:nvPicPr>
        <xdr:cNvPr id="4" name="Imagen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6CD509-2901-DC47-7ED5-D67CC2D22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0337800" cy="2565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ORIENTE%20FINAL%20ORIENTE%20-%2009-03-2026.xlsm" TargetMode="External"/><Relationship Id="rId1" Type="http://schemas.openxmlformats.org/officeDocument/2006/relationships/externalLinkPath" Target="/Users/user/Downloads/ORIENTE%20FINAL%20ORIENTE%20-%2009-03-2026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lectroShop/Music/Mila/Desktop/Nueva%20carpeta/FR-OPR-004%20PLAN%20DE%20MANTENIMINETO%20PREVENTIVO%20Actualizado%2003.02.20%20APROBADO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NITOREO/Desktop/ZONA%20OCCIDENTE/MANTENIMIENTO%20DE%20VEHICULOS%208-12-22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LAPTOP\ESCRITORIO\VENEZUELA\DAVID\2025\BASE%20DE%20DATOS\DIARIO%20-%2007-02-2025.xlsm" TargetMode="External"/><Relationship Id="rId1" Type="http://schemas.openxmlformats.org/officeDocument/2006/relationships/externalLinkPath" Target="LAPTOP/ESCRITORIO/VENEZUELA/DAVID/2025/BASE%20DE%20DATOS/DIARIO%20-%2007-02-2025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NITOREO/Desktop/MONITOREO%20ORIENTE/2022/BASE%20DE%20DATOS/CONSOLIDADO%20-%2011-05-2022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USUARIO/Desktop/gmr/Flota%20y%20Logistica/Aprobado/Formularios%20de%20Flota%20y%20Logistica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R-OPR-003%20HISTORICO%20DE%20FALLAS%2023.01.21%20respaldo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esktop/DAVID/2025/BASE%20DE%20DATOS/DIARIO%20-%2006-01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COORDENADAS"/>
      <sheetName val="FARMACIAS"/>
      <sheetName val="REPORTES"/>
      <sheetName val="ORIENTE SUR (2)"/>
      <sheetName val="ORIENTE NORTE (2)"/>
      <sheetName val="ORIENTE SUR"/>
      <sheetName val="RUTA TIGRE"/>
      <sheetName val="GUARDIAS"/>
      <sheetName val="REPORTES ORIENTE"/>
      <sheetName val="PIZARRA"/>
      <sheetName val="FICHAS"/>
      <sheetName val="HISTORIAL + KM"/>
      <sheetName val="CONFIGURACION"/>
      <sheetName val="FORMATO PENDIENTES"/>
      <sheetName val="ALERTAS"/>
      <sheetName val="RECORRIDO MENSUAL"/>
      <sheetName val="CONTROL"/>
      <sheetName val="SURTIDO COMBUSTIBLE"/>
      <sheetName val="EXTRACCION COMBUSTIBLE "/>
      <sheetName val="HORAS DE DESPACHO"/>
      <sheetName val="WORD"/>
      <sheetName val="Hoja5"/>
      <sheetName val="ESTADISTICA DE SELLOS"/>
      <sheetName val="RECORRIDO SEMANAL"/>
      <sheetName val="REGION"/>
      <sheetName val="ORIENTE NORTE"/>
      <sheetName val="TRACKER"/>
      <sheetName val="REPORTE PERID (2)"/>
      <sheetName val="VALIDACION DE TEXTO"/>
      <sheetName val="Hoja2"/>
      <sheetName val="RECORDOS"/>
      <sheetName val="OT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al"/>
      <sheetName val="Modif.01"/>
      <sheetName val="Lista de Modificaciones"/>
      <sheetName val="Plan Mtto"/>
      <sheetName val="Kilometrajes"/>
      <sheetName val="Consultas"/>
      <sheetName val="Mtto Ruta Larga"/>
      <sheetName val="ESTATUS"/>
      <sheetName val="ESTATUS (3)"/>
      <sheetName val="Novedades 2"/>
      <sheetName val="Nueva Piazarra"/>
      <sheetName val="CONTROL DE NEUMATICOS"/>
      <sheetName val="Movilizadas"/>
      <sheetName val="CHOFERES VS AYUDANTES VS RURTAS"/>
      <sheetName val="PIZARRA RUTA LARGA"/>
      <sheetName val="Rotación de Personal"/>
      <sheetName val="LISTADO COMPLETO"/>
      <sheetName val="LISTADO CHOFERES Y AYUDANTES"/>
      <sheetName val="LISTADO CHOFERES Y AYUDANTE (2"/>
      <sheetName val="alineaciónes pendientes"/>
      <sheetName val="Eficiciencia del Plan"/>
      <sheetName val="Pizarra (2)"/>
      <sheetName val="Novedades"/>
      <sheetName val="Pizarra (esttus real)"/>
      <sheetName val="Rutas VS Personal (modif cesar)"/>
      <sheetName val="Rutas VS Personal"/>
      <sheetName val="Rutas pizarra"/>
      <sheetName val="firas"/>
      <sheetName val="Hoja"/>
      <sheetName val="EVALUACIÓN DE AYUDANTES"/>
      <sheetName val="traslados de A2"/>
      <sheetName val="cARLOS m"/>
      <sheetName val="Hoja1"/>
      <sheetName val="Hoja3"/>
      <sheetName val="Hoja2"/>
      <sheetName val="dic"/>
    </sheetNames>
    <sheetDataSet>
      <sheetData sheetId="0"/>
      <sheetData sheetId="1"/>
      <sheetData sheetId="2"/>
      <sheetData sheetId="3"/>
      <sheetData sheetId="4"/>
      <sheetData sheetId="5">
        <row r="179">
          <cell r="C179" t="str">
            <v>REVISIÓN 5MIL KM</v>
          </cell>
        </row>
        <row r="180">
          <cell r="A180" t="str">
            <v>A02CS4V</v>
          </cell>
          <cell r="C180" t="str">
            <v>CAMBIO DE ACEITE DE LA CAJA.  L300, PEUGEOT Y SPARK</v>
          </cell>
        </row>
        <row r="181">
          <cell r="A181" t="str">
            <v>A0378AK</v>
          </cell>
          <cell r="C181" t="str">
            <v>REVISIÓN DE BUJIAS. C-3500, L-300, PEUGEOT Y SPARK</v>
          </cell>
        </row>
        <row r="182">
          <cell r="A182" t="str">
            <v>A0424AK</v>
          </cell>
          <cell r="C182" t="str">
            <v>CAMBIO FILTRO DE AIRE DEL MOTOR. L-300, PEUGEOT Y SPARK</v>
          </cell>
        </row>
        <row r="183">
          <cell r="A183" t="str">
            <v>A11AT5B</v>
          </cell>
          <cell r="C183" t="str">
            <v xml:space="preserve">ALINEACION Y ROTACION </v>
          </cell>
        </row>
        <row r="184">
          <cell r="A184" t="str">
            <v>A13CS4G</v>
          </cell>
          <cell r="C184" t="str">
            <v>REEMPLAZO DE NEUMATICOS. 
L-300, C-3500, PEUGEOT Y SPARK</v>
          </cell>
        </row>
        <row r="185">
          <cell r="A185" t="str">
            <v>A15AT9B</v>
          </cell>
          <cell r="C185" t="str">
            <v>CAMBIO FILTROS DE COMBUSTIBLE</v>
          </cell>
        </row>
        <row r="186">
          <cell r="A186" t="str">
            <v>A17AMOK</v>
          </cell>
          <cell r="C186" t="str">
            <v>CAMBIO BOMBA DE GASOLINA. 
L-300</v>
          </cell>
        </row>
        <row r="187">
          <cell r="A187" t="str">
            <v>A20CD8V</v>
          </cell>
          <cell r="C187" t="str">
            <v>CAMBIO DE KIT DE TIEMPO. L-300, PEUGEOT Y SPARK</v>
          </cell>
        </row>
        <row r="188">
          <cell r="A188" t="str">
            <v>A21BC1D</v>
          </cell>
          <cell r="C188" t="str">
            <v xml:space="preserve">REVISIÓN DE KIT DE TIEMPO. C-3500 </v>
          </cell>
        </row>
        <row r="189">
          <cell r="A189" t="str">
            <v>A28BS4D</v>
          </cell>
          <cell r="C189" t="str">
            <v xml:space="preserve">CAMBIO DE ACEITE DE LA CAJA. C-3500 </v>
          </cell>
        </row>
        <row r="190">
          <cell r="A190" t="str">
            <v>A29AJ0K</v>
          </cell>
          <cell r="C190" t="str">
            <v>CAMBIO FILTRO DE AIRE DEL MOTOR. C-3500</v>
          </cell>
        </row>
        <row r="191">
          <cell r="A191" t="str">
            <v>A30AS1A</v>
          </cell>
          <cell r="C191" t="str">
            <v>CAMBIO CORREA UNICA. C-3500</v>
          </cell>
        </row>
        <row r="192">
          <cell r="A192" t="str">
            <v>A32BK3D</v>
          </cell>
          <cell r="C192" t="str">
            <v>CAMBIO DE ACEITE CAJA. CANTER</v>
          </cell>
        </row>
        <row r="193">
          <cell r="A193" t="str">
            <v>A33B16D</v>
          </cell>
          <cell r="C193" t="str">
            <v>REEMPLAZO DE NEUMATICOS. CANTER</v>
          </cell>
        </row>
        <row r="194">
          <cell r="A194" t="str">
            <v>A38BK6D</v>
          </cell>
        </row>
        <row r="195">
          <cell r="A195" t="str">
            <v>A39BK8D</v>
          </cell>
        </row>
        <row r="196">
          <cell r="A196" t="str">
            <v>A40AK1N</v>
          </cell>
        </row>
        <row r="197">
          <cell r="A197" t="str">
            <v>A41BD1F</v>
          </cell>
        </row>
        <row r="198">
          <cell r="A198" t="str">
            <v>A46BE3A</v>
          </cell>
        </row>
        <row r="199">
          <cell r="A199" t="str">
            <v>A50AT4A</v>
          </cell>
        </row>
        <row r="200">
          <cell r="A200" t="str">
            <v>A50AU2B</v>
          </cell>
        </row>
        <row r="201">
          <cell r="A201" t="str">
            <v>A51AV1F</v>
          </cell>
        </row>
        <row r="202">
          <cell r="A202" t="str">
            <v>A53BP5M</v>
          </cell>
        </row>
        <row r="203">
          <cell r="A203" t="str">
            <v>A53CG1D</v>
          </cell>
        </row>
        <row r="204">
          <cell r="A204" t="str">
            <v>A54DL8G</v>
          </cell>
        </row>
        <row r="205">
          <cell r="A205" t="str">
            <v>A57AU7B</v>
          </cell>
        </row>
        <row r="206">
          <cell r="A206" t="str">
            <v>A60AV4F</v>
          </cell>
        </row>
        <row r="207">
          <cell r="A207" t="str">
            <v>A65CY8V</v>
          </cell>
        </row>
        <row r="208">
          <cell r="A208" t="str">
            <v>A70CJ6A</v>
          </cell>
        </row>
        <row r="209">
          <cell r="A209" t="str">
            <v>A70AJ00</v>
          </cell>
        </row>
        <row r="210">
          <cell r="A210" t="str">
            <v>A73CL7D</v>
          </cell>
        </row>
        <row r="211">
          <cell r="A211" t="str">
            <v>A73CS4A</v>
          </cell>
        </row>
        <row r="212">
          <cell r="A212" t="str">
            <v>A77B04G</v>
          </cell>
        </row>
        <row r="213">
          <cell r="A213" t="str">
            <v>A80CL8D</v>
          </cell>
        </row>
        <row r="214">
          <cell r="A214" t="str">
            <v>A86CY7V</v>
          </cell>
        </row>
        <row r="215">
          <cell r="A215" t="str">
            <v>A91DB8M</v>
          </cell>
        </row>
        <row r="216">
          <cell r="A216" t="str">
            <v>A94CS9A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al"/>
      <sheetName val="Modif.01"/>
      <sheetName val="Lista de Modificaciones"/>
      <sheetName val="ESTATUS (3)"/>
      <sheetName val="Plan Mtto"/>
      <sheetName val="Kilometrajes"/>
      <sheetName val="ESTATUS"/>
      <sheetName val="novedades"/>
      <sheetName val="Consultas"/>
      <sheetName val="Gráfico1"/>
      <sheetName val="Nueva Piazarra"/>
      <sheetName val="Plantas Electricas"/>
      <sheetName val="Rotación Transportes"/>
      <sheetName val="Rotación de Personal"/>
      <sheetName val="plan diciembre"/>
      <sheetName val="tabla viernes"/>
      <sheetName val="Mtto Ruta Larga"/>
      <sheetName val="INDICADORES"/>
      <sheetName val="ruteros"/>
      <sheetName val="Planificación salidas de rutas"/>
      <sheetName val="CONTROL DE NEUMATICOS"/>
      <sheetName val="CHOFERES VS AYUDANTES VS RURTAS"/>
      <sheetName val="LISTADO COMPLETO"/>
      <sheetName val="LISTADO CHOFERES Y AYUDANTES"/>
      <sheetName val="LISTADO CHOFERES Y AYUDANTE (2"/>
      <sheetName val="Eficiciencia del Plan"/>
      <sheetName val="Pizarra (2)"/>
      <sheetName val="Pizarra (esttus real)"/>
      <sheetName val="Rutas VS Personal (modif cesar)"/>
      <sheetName val="Rutas VS Personal"/>
      <sheetName val="Listado de Personal"/>
      <sheetName val="tablas dash"/>
      <sheetName val="dash "/>
      <sheetName val="dash (monocromo)"/>
      <sheetName val="datos"/>
      <sheetName val="firas"/>
      <sheetName val="EVALUACIÓN DE AYUDANTES"/>
      <sheetName val="combustible"/>
      <sheetName val="Mtto Dic"/>
      <sheetName val="prog"/>
      <sheetName val="Consultas (2)"/>
      <sheetName val="Hoja1"/>
      <sheetName val="Planificación salidas de ru (2)"/>
      <sheetName val="MANTENIMIENTO DE VEHICULOS 8-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4">
          <cell r="E4" t="str">
            <v>A02CS4V</v>
          </cell>
        </row>
        <row r="5">
          <cell r="E5" t="str">
            <v>A0378AK</v>
          </cell>
        </row>
        <row r="6">
          <cell r="E6" t="str">
            <v>A0424AK</v>
          </cell>
        </row>
        <row r="7">
          <cell r="E7" t="str">
            <v>A11AT5B</v>
          </cell>
        </row>
        <row r="8">
          <cell r="E8" t="str">
            <v>A13CS4G</v>
          </cell>
        </row>
        <row r="9">
          <cell r="E9" t="str">
            <v>A15AT9B</v>
          </cell>
        </row>
        <row r="10">
          <cell r="E10" t="str">
            <v>A17AMOK</v>
          </cell>
        </row>
        <row r="11">
          <cell r="E11" t="str">
            <v>A20CD8V</v>
          </cell>
        </row>
        <row r="12">
          <cell r="E12" t="str">
            <v>A21BC1D</v>
          </cell>
        </row>
        <row r="13">
          <cell r="E13" t="str">
            <v>A28BS4D</v>
          </cell>
        </row>
        <row r="14">
          <cell r="E14" t="str">
            <v>A29AJ0K</v>
          </cell>
        </row>
        <row r="15">
          <cell r="E15" t="str">
            <v>A30AS1A</v>
          </cell>
        </row>
        <row r="16">
          <cell r="E16" t="str">
            <v>A32BK3D</v>
          </cell>
        </row>
        <row r="17">
          <cell r="E17" t="str">
            <v>A33B16D</v>
          </cell>
        </row>
        <row r="18">
          <cell r="E18" t="str">
            <v>A38BK6D</v>
          </cell>
        </row>
        <row r="19">
          <cell r="E19" t="str">
            <v>A39BK8D</v>
          </cell>
        </row>
        <row r="20">
          <cell r="E20" t="str">
            <v>A40AK1N</v>
          </cell>
        </row>
        <row r="21">
          <cell r="E21" t="str">
            <v>A41BD1F</v>
          </cell>
        </row>
        <row r="22">
          <cell r="E22" t="str">
            <v>A46BE3A</v>
          </cell>
        </row>
        <row r="23">
          <cell r="E23" t="str">
            <v>A50AT4A</v>
          </cell>
        </row>
        <row r="24">
          <cell r="E24" t="str">
            <v>A50AU2B</v>
          </cell>
        </row>
        <row r="25">
          <cell r="E25" t="str">
            <v>A51AV1F</v>
          </cell>
        </row>
        <row r="26">
          <cell r="E26" t="str">
            <v>A53BP5M</v>
          </cell>
        </row>
        <row r="27">
          <cell r="E27" t="str">
            <v>A53CG1D</v>
          </cell>
        </row>
        <row r="28">
          <cell r="E28" t="str">
            <v>A54DL8G</v>
          </cell>
        </row>
        <row r="29">
          <cell r="E29" t="str">
            <v>A57AU7B</v>
          </cell>
        </row>
        <row r="30">
          <cell r="E30" t="str">
            <v>A60AV4F</v>
          </cell>
        </row>
        <row r="31">
          <cell r="E31" t="str">
            <v>A62AZ9D</v>
          </cell>
        </row>
        <row r="32">
          <cell r="E32" t="str">
            <v>A65CY8V</v>
          </cell>
        </row>
        <row r="33">
          <cell r="E33" t="str">
            <v>A70CJ6A</v>
          </cell>
        </row>
        <row r="34">
          <cell r="E34" t="str">
            <v>A70DL0G</v>
          </cell>
        </row>
        <row r="35">
          <cell r="E35" t="str">
            <v>A73CL7D</v>
          </cell>
        </row>
        <row r="36">
          <cell r="E36" t="str">
            <v>A73CS4A</v>
          </cell>
        </row>
        <row r="37">
          <cell r="E37" t="str">
            <v>A70AJ00</v>
          </cell>
        </row>
        <row r="38">
          <cell r="E38" t="str">
            <v>A77B04G</v>
          </cell>
        </row>
        <row r="39">
          <cell r="E39" t="str">
            <v>A80CL8D</v>
          </cell>
        </row>
        <row r="40">
          <cell r="E40" t="str">
            <v>A86CY7V</v>
          </cell>
        </row>
        <row r="41">
          <cell r="E41" t="str">
            <v>A91DB8M</v>
          </cell>
        </row>
        <row r="42">
          <cell r="E42" t="str">
            <v>A94CS9A</v>
          </cell>
        </row>
        <row r="43">
          <cell r="E43" t="str">
            <v>A95AS3F</v>
          </cell>
        </row>
        <row r="44">
          <cell r="E44" t="str">
            <v>A99CY7V</v>
          </cell>
        </row>
        <row r="45">
          <cell r="E45" t="str">
            <v>AA282SV</v>
          </cell>
        </row>
        <row r="46">
          <cell r="E46" t="str">
            <v>AA907RK</v>
          </cell>
        </row>
        <row r="47">
          <cell r="E47" t="str">
            <v>AB0490B</v>
          </cell>
        </row>
        <row r="48">
          <cell r="E48" t="str">
            <v>AB893NB</v>
          </cell>
        </row>
        <row r="49">
          <cell r="E49" t="str">
            <v>AF793NA</v>
          </cell>
        </row>
        <row r="50">
          <cell r="E50" t="str">
            <v>A43CV4G</v>
          </cell>
        </row>
        <row r="51">
          <cell r="E51" t="str">
            <v>AF921DD</v>
          </cell>
        </row>
        <row r="52">
          <cell r="E52" t="str">
            <v>A42CV9G</v>
          </cell>
        </row>
        <row r="53">
          <cell r="E53" t="str">
            <v>A66BW8M</v>
          </cell>
        </row>
        <row r="54">
          <cell r="E54" t="str">
            <v>A03CS4V</v>
          </cell>
        </row>
        <row r="55">
          <cell r="E55" t="str">
            <v>AB852NI</v>
          </cell>
        </row>
        <row r="56">
          <cell r="E56" t="str">
            <v>A76AD9C</v>
          </cell>
        </row>
      </sheetData>
      <sheetData sheetId="6">
        <row r="25">
          <cell r="A25" t="str">
            <v>Operativo</v>
          </cell>
        </row>
        <row r="26">
          <cell r="A26" t="str">
            <v>Operativo **</v>
          </cell>
        </row>
        <row r="27">
          <cell r="A27" t="str">
            <v>No Operativo</v>
          </cell>
        </row>
        <row r="28">
          <cell r="A28" t="str">
            <v>Programado No Ejecutado</v>
          </cell>
        </row>
        <row r="29">
          <cell r="A29" t="str">
            <v>En prueba</v>
          </cell>
        </row>
        <row r="30">
          <cell r="A30" t="str">
            <v>Programación del día</v>
          </cell>
        </row>
        <row r="31">
          <cell r="A31" t="str">
            <v>En Progreso</v>
          </cell>
        </row>
      </sheetData>
      <sheetData sheetId="7" refreshError="1"/>
      <sheetData sheetId="8">
        <row r="190">
          <cell r="C190" t="str">
            <v>REVISIÓN 5MIL KM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"/>
      <sheetName val="FLOTA PERSONAL RD"/>
      <sheetName val="Hoja1"/>
      <sheetName val="CRONOGRAMA SEMANAL (2)"/>
      <sheetName val="MAZIAD (2)"/>
      <sheetName val="FARMACIAS"/>
      <sheetName val="CONTADOR TRANSBORDO ACTUAL"/>
      <sheetName val="CONTADOR TRANSBORDO PROPUESTA"/>
      <sheetName val="ESTADISTICAS OCCIDENTE"/>
      <sheetName val="RUTERO ORIENTE"/>
      <sheetName val="ESTADISTICAS CENTRO"/>
      <sheetName val="2022"/>
      <sheetName val="2023"/>
      <sheetName val="2024"/>
      <sheetName val="2025"/>
      <sheetName val="FLOTA COMPLETA"/>
      <sheetName val="ORIENTE"/>
      <sheetName val="PERSONAL"/>
      <sheetName val="Hoja6"/>
      <sheetName val="MAZIAD"/>
      <sheetName val="TRANSBORDO1"/>
      <sheetName val="TRANSBORDO"/>
      <sheetName val="LIMITES DE VELOCIDAD"/>
      <sheetName val="CRONOGRAMA SEMANAL"/>
      <sheetName val="RECORRIDO POR REGIONES (2)"/>
      <sheetName val="Hoja2"/>
      <sheetName val="FLOTA"/>
      <sheetName val="Hoja10"/>
      <sheetName val="RENDIMIENTO"/>
      <sheetName val="RECORD"/>
      <sheetName val="COMBUSTIBLE"/>
      <sheetName val="Hoja11"/>
      <sheetName val="REGIONES"/>
      <sheetName val="RECORRIDO POR REGIONES"/>
      <sheetName val="VALIDACION"/>
      <sheetName val="PROMEDIO DE SURTIDO"/>
      <sheetName val="SALIDAS PANELES"/>
      <sheetName val="ORIENTE REY CAMION"/>
      <sheetName val="SEPTIEMBRE"/>
      <sheetName val="FLOTA NOVEDADES"/>
      <sheetName val="HISTORIAL FLOTA"/>
      <sheetName val="REPORTES DE NOVEDADES"/>
      <sheetName val="DISTANCIAS"/>
      <sheetName val="Hoja7"/>
      <sheetName val="Hoja8 (3)"/>
      <sheetName val="Hoja8"/>
      <sheetName val="Hoja8 (2)"/>
      <sheetName val="UBICACION DE PARTIDA"/>
      <sheetName val="NOVEDADES"/>
      <sheetName val="NOVEDADES (2)"/>
      <sheetName val="ARMAR RUTAS"/>
      <sheetName val="COMPARACION ENTRE RUTAS"/>
      <sheetName val="FOTOS"/>
      <sheetName val="REGION ORIENTE (2)"/>
      <sheetName val="REGION ORIENTE 2024"/>
      <sheetName val="REGION ORIENTE + KM ACTUAL"/>
      <sheetName val="REGION ORIENTE + PLANTILLA"/>
      <sheetName val="REGION CENTRO + KM ACTUAL"/>
      <sheetName val="Hoja4 (2)"/>
      <sheetName val="Hoja4"/>
      <sheetName val="REGION CENTRO + PLANTILLA"/>
      <sheetName val="REGION OCCIDENTE + KM ACTUAL "/>
      <sheetName val="REGION OCCIDENTE + PLANTILLA"/>
      <sheetName val="TRANSBORD + KM ACTUAL"/>
      <sheetName val="RUTA ORIENTE"/>
      <sheetName val="KM"/>
      <sheetName val="CONTEO POR HORAS TRANSCURRIDAS"/>
      <sheetName val="CONTEO SEMANAL"/>
      <sheetName val="Hoja5"/>
      <sheetName val="MENU - ORIENTE"/>
      <sheetName val="CRECIMIENTO"/>
      <sheetName val="Hoja9"/>
      <sheetName val="ORIENTE SUR"/>
      <sheetName val="DATOS CLIENTES Y PEDIDOS"/>
      <sheetName val="ORIENTE NORTE"/>
      <sheetName val="REGION ORIENTE"/>
      <sheetName val="INFORME FARMACIAS"/>
      <sheetName val="INFORME BULTOS"/>
      <sheetName val="SEMANAL"/>
      <sheetName val="DIARIO"/>
      <sheetName val="BASE DE DATOS"/>
      <sheetName val="Hoja24"/>
      <sheetName val="DATOS SEMANAL"/>
      <sheetName val="Hoja14"/>
      <sheetName val="Hoja12"/>
      <sheetName val="HOTELES"/>
      <sheetName val="Hoja3"/>
      <sheetName val="CHOFER - DIA POR DIA"/>
      <sheetName val="CHOFER"/>
      <sheetName val="AYUDANTE - DIA POR DIA"/>
      <sheetName val="AYUDANTE"/>
      <sheetName val="DIARIO - 07-02-20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>
        <row r="9">
          <cell r="I9" t="str">
            <v>CANTAURA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PEDIDOS ENTREGADOS"/>
      <sheetName val="FARMACIAS"/>
      <sheetName val="TOPS AYUDANTE"/>
      <sheetName val="TOPS CHOFERES"/>
      <sheetName val="Hoja15"/>
      <sheetName val="RECORD"/>
      <sheetName val="LISTADO DE CHOFERES"/>
      <sheetName val="RETORNOS"/>
      <sheetName val="Hoja5"/>
      <sheetName val="DATA CHOFERES"/>
      <sheetName val="FOTO CHOFERES"/>
      <sheetName val="LISTADO DE AYUDANTES"/>
      <sheetName val="Hoja55"/>
      <sheetName val="DATA AYUDANTES"/>
      <sheetName val="FOTOS AYUDANTES"/>
      <sheetName val="CONSOLIDADO"/>
      <sheetName val="Hoja555"/>
      <sheetName val="CONDUCTORES"/>
      <sheetName val="ESTADISTICAS DE ENTREGAS"/>
      <sheetName val="CONTROL"/>
      <sheetName val="DATOS RETORN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0">
          <cell r="F40" t="str">
            <v>JOHAN_DIAZ</v>
          </cell>
          <cell r="N40" t="str">
            <v>Ramzi_Habib_Habib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-OPR-007"/>
      <sheetName val="FR-OPR-008"/>
      <sheetName val="FR-OPR-008 (Rev.1)"/>
      <sheetName val="FR-OPR-008 (Rev.1) (2)"/>
      <sheetName val="FR-OPR-028"/>
    </sheetNames>
    <sheetDataSet>
      <sheetData sheetId="0"/>
      <sheetData sheetId="1"/>
      <sheetData sheetId="2"/>
      <sheetData sheetId="3"/>
      <sheetData sheetId="4">
        <row r="2603">
          <cell r="ALY2603" t="str">
            <v>C</v>
          </cell>
        </row>
        <row r="2604">
          <cell r="ALY2604" t="str">
            <v>NC</v>
          </cell>
        </row>
        <row r="2605">
          <cell r="ALY2605" t="str">
            <v>N/A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ico"/>
      <sheetName val="Hoja1"/>
      <sheetName val="tipos de filtro"/>
      <sheetName val="Filtro Avzdo"/>
      <sheetName val="Tbl Din"/>
      <sheetName val="Km Parciales"/>
      <sheetName val="Datos Origen"/>
      <sheetName val="Diversos reportes"/>
      <sheetName val="FR-OPR-003 HISTORICO DE FALLAS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FLOTA PERSONAL RD"/>
      <sheetName val="CRONOGRAMA SEMANAL (2)"/>
      <sheetName val="MAZIAD (2)"/>
      <sheetName val="FARMACIAS"/>
      <sheetName val="CONTADOR TRANSBORDO ACTUAL"/>
      <sheetName val="CONTADOR TRANSBORDO PROPUESTA"/>
      <sheetName val="ESTADISTICAS OCCIDENTE"/>
      <sheetName val="RUTERO ORIENTE"/>
      <sheetName val="ESTADISTICAS CENTRO"/>
      <sheetName val="2022"/>
      <sheetName val="2023"/>
      <sheetName val="2024"/>
      <sheetName val="FLOTA COMPLETA"/>
      <sheetName val="ORIENTE"/>
      <sheetName val="PERSONAL"/>
      <sheetName val="Hoja6"/>
      <sheetName val="MAZIAD"/>
      <sheetName val="TRANSBORDO1"/>
      <sheetName val="TRANSBORDO"/>
      <sheetName val="LIMITES DE VELOCIDAD"/>
      <sheetName val="CRONOGRAMA SEMANAL"/>
      <sheetName val="RECORRIDO POR REGIONES (2)"/>
      <sheetName val="Hoja2"/>
      <sheetName val="FLOTA"/>
      <sheetName val="RENDIMIENTO"/>
      <sheetName val="RECORD"/>
      <sheetName val="COMBUSTIBLE"/>
      <sheetName val="Hoja11"/>
      <sheetName val="REGIONES"/>
      <sheetName val="RECORRIDO POR REGIONES"/>
      <sheetName val="VALIDACION"/>
      <sheetName val="PROMEDIO DE SURTIDO"/>
      <sheetName val="SALIDAS PANELES"/>
      <sheetName val="ORIENTE REY CAMION"/>
      <sheetName val="SEPTIEMBRE"/>
      <sheetName val="FLOTA NOVEDADES"/>
      <sheetName val="HISTORIAL FLOTA"/>
      <sheetName val="REPORTES DE NOVEDADES"/>
      <sheetName val="DISTANCIAS"/>
      <sheetName val="Hoja7"/>
      <sheetName val="Hoja8"/>
      <sheetName val="Hoja8 (2)"/>
      <sheetName val="ARMAR RUTAS"/>
      <sheetName val="COMPARACION ENTRE RUTAS"/>
      <sheetName val="FOTOS"/>
      <sheetName val="REGION ORIENTE (2)"/>
      <sheetName val="REGION ORIENTE 2024"/>
      <sheetName val="REGION ORIENTE + KM ACTUAL"/>
      <sheetName val="REGION ORIENTE + PLANTILLA"/>
      <sheetName val="REGION CENTRO + KM ACTUAL"/>
      <sheetName val="Hoja4 (2)"/>
      <sheetName val="Hoja4"/>
      <sheetName val="REGION CENTRO + PLANTILLA"/>
      <sheetName val="REGION OCCIDENTE + KM ACTUAL "/>
      <sheetName val="REGION OCCIDENTE + PLANTILLA"/>
      <sheetName val="TRANSBORD + KM ACTUAL"/>
      <sheetName val="RUTA ORIENTE"/>
      <sheetName val="Hoja1"/>
      <sheetName val="KM"/>
      <sheetName val="CONTEO POR HORAS TRANSCURRIDAS"/>
      <sheetName val="CONTEO SEMANAL"/>
      <sheetName val="Hoja5"/>
      <sheetName val="MENU - ORIENTE"/>
      <sheetName val="CRECIMIENTO"/>
      <sheetName val="Hoja9"/>
      <sheetName val="ORIENTE SUR"/>
      <sheetName val="DATOS CLIENTES Y PEDIDOS"/>
      <sheetName val="ORIENTE NORTE"/>
      <sheetName val="REGION ORIENTE"/>
      <sheetName val="INFORME FARMACIAS"/>
      <sheetName val="INFORME BULTOS"/>
      <sheetName val="SEMANAL"/>
      <sheetName val="DIARIO"/>
      <sheetName val="BASE DE DATOS"/>
      <sheetName val="Hoja24"/>
      <sheetName val="DATOS SEMANAL"/>
      <sheetName val="Hoja14"/>
      <sheetName val="Hoja12"/>
      <sheetName val="HOTELES"/>
      <sheetName val="Hoja3"/>
      <sheetName val="CHOFER - DIA POR DIA"/>
      <sheetName val="CHOFER"/>
      <sheetName val="AYUDANTE - DIA POR DIA"/>
      <sheetName val="AYUDANTE"/>
      <sheetName val="DIARIO - 06-01-20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9">
          <cell r="I9" t="str">
            <v>PEAJE_DE_MESONES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A6B8AC-5DB3-4C91-9906-1550908DBF1A}" name="Tabla25" displayName="Tabla25" ref="A2:K72" totalsRowCount="1" headerRowDxfId="24" dataDxfId="23" headerRowBorderDxfId="5">
  <autoFilter ref="A2:K71" xr:uid="{00000000-000C-0000-FFFF-FFFF09000000}"/>
  <tableColumns count="11">
    <tableColumn id="1" xr3:uid="{3FA5A551-2D66-40A2-9FE4-B9B2BC5BB660}" name="ITEM" dataDxfId="22" totalsRowDxfId="14"/>
    <tableColumn id="2" xr3:uid="{F4016C07-115E-48D9-9C65-2ACCFE04BE4F}" name="Placa" dataDxfId="21" totalsRowDxfId="13"/>
    <tableColumn id="8" xr3:uid="{DCE68F1B-C34A-4EA6-B9C1-87BDF8F75F79}" name="Modelo" dataDxfId="20" totalsRowDxfId="12"/>
    <tableColumn id="10" xr3:uid="{0EB3C841-7F63-4F74-85F1-EA2FAF712D89}" name="Grupo" dataDxfId="15" totalsRowDxfId="11"/>
    <tableColumn id="9" xr3:uid="{01776DED-4EB7-46D5-B985-6F3AB9A8849C}" name="RUTA" dataDxfId="16" totalsRowDxfId="10"/>
    <tableColumn id="3" xr3:uid="{66B5293C-E9A1-4216-B04F-7F1D481D0104}" name="Estatus_Unidad" dataDxfId="17" totalsRowDxfId="9"/>
    <tableColumn id="4" xr3:uid="{084C3F4F-9B94-4C1F-85C1-28B3D2ABE3A4}" name="Estatus GPS" dataDxfId="19" totalsRowDxfId="8"/>
    <tableColumn id="5" xr3:uid="{19888EA5-266B-4E44-82AB-7DB3B6B410BC}" name="Km Actual" dataDxfId="6" totalsRowDxfId="7"/>
    <tableColumn id="7" xr3:uid="{55738192-7F74-4436-A878-758FC591DF5A}" name="RECORRIDO PROMEDIO DIARIO" totalsRowFunction="sum" dataDxfId="18" totalsRowDxfId="1"/>
    <tableColumn id="12" xr3:uid="{B8904AB8-6FA4-4577-B565-E884B9E8A10E}" name="RECORRIDO PROMEDIO SEMANAL" totalsRowFunction="sum" dataDxfId="4" totalsRowDxfId="2"/>
    <tableColumn id="6" xr3:uid="{061EF5D1-B164-48FE-AF9D-2535B2CBFFA9}" name="RECORRIDO PROMEDIO MENSUAL" totalsRowFunction="sum" dataDxfId="3" totalsRow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D7B97-D6D7-48E4-9DDB-41C5DF0271D6}">
  <sheetPr codeName="Hoja10">
    <tabColor rgb="FFFF0000"/>
  </sheetPr>
  <dimension ref="A1:AM73"/>
  <sheetViews>
    <sheetView tabSelected="1" zoomScale="30" zoomScaleNormal="30" workbookViewId="0">
      <selection activeCell="A72" sqref="A72"/>
    </sheetView>
  </sheetViews>
  <sheetFormatPr baseColWidth="10" defaultColWidth="0" defaultRowHeight="14.4" x14ac:dyDescent="0.3"/>
  <cols>
    <col min="1" max="1" width="26.44140625" bestFit="1" customWidth="1"/>
    <col min="2" max="2" width="66" bestFit="1" customWidth="1"/>
    <col min="3" max="6" width="36.6640625" customWidth="1"/>
    <col min="7" max="7" width="39.6640625" bestFit="1" customWidth="1"/>
    <col min="8" max="8" width="56" customWidth="1"/>
    <col min="9" max="10" width="58.33203125" customWidth="1"/>
    <col min="11" max="11" width="52" customWidth="1"/>
    <col min="12" max="12" width="10.6640625" customWidth="1"/>
    <col min="13" max="18" width="10.6640625" hidden="1"/>
    <col min="19" max="19" width="11.44140625" hidden="1"/>
    <col min="20" max="36" width="10.6640625" hidden="1"/>
    <col min="37" max="39" width="11.44140625" hidden="1"/>
    <col min="40" max="16384" width="10.6640625" hidden="1"/>
  </cols>
  <sheetData>
    <row r="1" spans="1:11" ht="211.2" customHeight="1" thickTop="1" thickBot="1" x14ac:dyDescent="0.35">
      <c r="A1" s="20"/>
      <c r="B1" s="21"/>
      <c r="C1" s="21"/>
      <c r="D1" s="21"/>
      <c r="E1" s="22" t="s">
        <v>6</v>
      </c>
      <c r="F1" s="22"/>
      <c r="G1" s="22"/>
      <c r="H1" s="22"/>
      <c r="I1" s="22"/>
      <c r="J1" s="1" t="s">
        <v>5</v>
      </c>
      <c r="K1" s="23"/>
    </row>
    <row r="2" spans="1:11" ht="72" customHeight="1" thickTop="1" thickBot="1" x14ac:dyDescent="0.35">
      <c r="A2" s="2" t="s">
        <v>0</v>
      </c>
      <c r="B2" s="2" t="s">
        <v>7</v>
      </c>
      <c r="C2" s="2" t="s">
        <v>8</v>
      </c>
      <c r="D2" s="2" t="s">
        <v>9</v>
      </c>
      <c r="E2" s="2" t="s">
        <v>1</v>
      </c>
      <c r="F2" s="2" t="s">
        <v>10</v>
      </c>
      <c r="G2" s="2" t="s">
        <v>11</v>
      </c>
      <c r="H2" s="2" t="s">
        <v>12</v>
      </c>
      <c r="I2" s="3" t="s">
        <v>2</v>
      </c>
      <c r="J2" s="2" t="s">
        <v>3</v>
      </c>
      <c r="K2" s="4" t="s">
        <v>4</v>
      </c>
    </row>
    <row r="3" spans="1:11" ht="75.75" customHeight="1" thickTop="1" thickBot="1" x14ac:dyDescent="0.35">
      <c r="A3" s="5">
        <v>1</v>
      </c>
      <c r="B3" s="6"/>
      <c r="C3" s="7"/>
      <c r="D3" s="7"/>
      <c r="E3" s="7"/>
      <c r="F3" s="7"/>
      <c r="G3" s="7"/>
      <c r="H3" s="9"/>
      <c r="I3" s="11"/>
      <c r="J3" s="12"/>
      <c r="K3" s="24"/>
    </row>
    <row r="4" spans="1:11" ht="75.75" customHeight="1" thickTop="1" thickBot="1" x14ac:dyDescent="0.35">
      <c r="A4" s="5">
        <v>2</v>
      </c>
      <c r="B4" s="6"/>
      <c r="C4" s="7"/>
      <c r="D4" s="7"/>
      <c r="E4" s="7"/>
      <c r="F4" s="7"/>
      <c r="G4" s="7"/>
      <c r="H4" s="12"/>
      <c r="I4" s="11"/>
      <c r="J4" s="12"/>
      <c r="K4" s="24"/>
    </row>
    <row r="5" spans="1:11" ht="75.75" customHeight="1" thickTop="1" thickBot="1" x14ac:dyDescent="0.35">
      <c r="A5" s="5">
        <v>3</v>
      </c>
      <c r="B5" s="6"/>
      <c r="C5" s="7"/>
      <c r="D5" s="7"/>
      <c r="E5" s="8"/>
      <c r="F5" s="7"/>
      <c r="G5" s="7"/>
      <c r="H5" s="12"/>
      <c r="I5" s="11"/>
      <c r="J5" s="12"/>
      <c r="K5" s="24"/>
    </row>
    <row r="6" spans="1:11" ht="75.75" customHeight="1" thickTop="1" thickBot="1" x14ac:dyDescent="0.35">
      <c r="A6" s="5">
        <v>4</v>
      </c>
      <c r="B6" s="6"/>
      <c r="C6" s="7"/>
      <c r="D6" s="8"/>
      <c r="E6" s="7"/>
      <c r="F6" s="7"/>
      <c r="G6" s="7"/>
      <c r="H6" s="12"/>
      <c r="I6" s="11"/>
      <c r="J6" s="12"/>
      <c r="K6" s="24"/>
    </row>
    <row r="7" spans="1:11" ht="75.75" customHeight="1" thickTop="1" thickBot="1" x14ac:dyDescent="0.35">
      <c r="A7" s="5">
        <v>5</v>
      </c>
      <c r="B7" s="6"/>
      <c r="C7" s="7"/>
      <c r="D7" s="8"/>
      <c r="E7" s="7"/>
      <c r="F7" s="7"/>
      <c r="G7" s="7"/>
      <c r="H7" s="12"/>
      <c r="I7" s="10"/>
      <c r="J7" s="12"/>
      <c r="K7" s="24"/>
    </row>
    <row r="8" spans="1:11" ht="75.75" customHeight="1" thickTop="1" thickBot="1" x14ac:dyDescent="0.35">
      <c r="A8" s="5">
        <v>6</v>
      </c>
      <c r="B8" s="6"/>
      <c r="C8" s="7"/>
      <c r="D8" s="7"/>
      <c r="E8" s="7"/>
      <c r="F8" s="7"/>
      <c r="G8" s="7"/>
      <c r="H8" s="12"/>
      <c r="I8" s="10"/>
      <c r="J8" s="12"/>
      <c r="K8" s="24"/>
    </row>
    <row r="9" spans="1:11" ht="75.75" customHeight="1" thickTop="1" thickBot="1" x14ac:dyDescent="0.35">
      <c r="A9" s="5">
        <v>7</v>
      </c>
      <c r="B9" s="6"/>
      <c r="C9" s="7"/>
      <c r="D9" s="7"/>
      <c r="E9" s="7"/>
      <c r="F9" s="7"/>
      <c r="G9" s="7"/>
      <c r="H9" s="12"/>
      <c r="I9" s="10"/>
      <c r="J9" s="12"/>
      <c r="K9" s="24"/>
    </row>
    <row r="10" spans="1:11" ht="75.75" customHeight="1" thickTop="1" thickBot="1" x14ac:dyDescent="0.35">
      <c r="A10" s="5">
        <v>8</v>
      </c>
      <c r="B10" s="6"/>
      <c r="C10" s="7"/>
      <c r="D10" s="7"/>
      <c r="E10" s="7"/>
      <c r="F10" s="7"/>
      <c r="G10" s="7"/>
      <c r="H10" s="12"/>
      <c r="I10" s="10"/>
      <c r="J10" s="11"/>
      <c r="K10" s="12"/>
    </row>
    <row r="11" spans="1:11" ht="83.25" customHeight="1" thickTop="1" thickBot="1" x14ac:dyDescent="0.35">
      <c r="A11" s="5">
        <v>9</v>
      </c>
      <c r="B11" s="13"/>
      <c r="C11" s="14"/>
      <c r="D11" s="14"/>
      <c r="E11" s="14"/>
      <c r="F11" s="14"/>
      <c r="G11" s="14"/>
      <c r="H11" s="17"/>
      <c r="I11" s="10"/>
      <c r="J11" s="11"/>
      <c r="K11" s="12"/>
    </row>
    <row r="12" spans="1:11" ht="75.75" customHeight="1" thickTop="1" thickBot="1" x14ac:dyDescent="0.35">
      <c r="A12" s="5">
        <v>10</v>
      </c>
      <c r="B12" s="6"/>
      <c r="C12" s="7"/>
      <c r="D12" s="7"/>
      <c r="E12" s="7"/>
      <c r="F12" s="7"/>
      <c r="G12" s="6"/>
      <c r="H12" s="19"/>
      <c r="I12" s="10"/>
      <c r="J12" s="11"/>
      <c r="K12" s="12"/>
    </row>
    <row r="13" spans="1:11" ht="75.75" customHeight="1" thickTop="1" thickBot="1" x14ac:dyDescent="0.35">
      <c r="A13" s="5">
        <v>11</v>
      </c>
      <c r="B13" s="6"/>
      <c r="C13" s="7"/>
      <c r="D13" s="7"/>
      <c r="E13" s="7"/>
      <c r="F13" s="7"/>
      <c r="G13" s="7"/>
      <c r="H13" s="18"/>
      <c r="I13" s="10"/>
      <c r="J13" s="11"/>
      <c r="K13" s="12"/>
    </row>
    <row r="14" spans="1:11" ht="75.75" customHeight="1" thickTop="1" thickBot="1" x14ac:dyDescent="0.35">
      <c r="A14" s="5">
        <v>12</v>
      </c>
      <c r="B14" s="6"/>
      <c r="C14" s="7"/>
      <c r="D14" s="7"/>
      <c r="E14" s="7"/>
      <c r="F14" s="7"/>
      <c r="G14" s="7"/>
      <c r="H14" s="12"/>
      <c r="I14" s="10"/>
      <c r="J14" s="11"/>
      <c r="K14" s="12"/>
    </row>
    <row r="15" spans="1:11" ht="75.75" customHeight="1" thickTop="1" thickBot="1" x14ac:dyDescent="0.35">
      <c r="A15" s="5">
        <v>13</v>
      </c>
      <c r="B15" s="6"/>
      <c r="C15" s="7"/>
      <c r="D15" s="7"/>
      <c r="E15" s="7"/>
      <c r="F15" s="7"/>
      <c r="G15" s="7"/>
      <c r="H15" s="12"/>
      <c r="I15" s="10"/>
      <c r="J15" s="11"/>
      <c r="K15" s="12"/>
    </row>
    <row r="16" spans="1:11" ht="75.75" customHeight="1" thickTop="1" thickBot="1" x14ac:dyDescent="0.35">
      <c r="A16" s="5">
        <v>14</v>
      </c>
      <c r="B16" s="6"/>
      <c r="C16" s="7"/>
      <c r="D16" s="7"/>
      <c r="E16" s="7"/>
      <c r="F16" s="7"/>
      <c r="G16" s="7"/>
      <c r="H16" s="12"/>
      <c r="I16" s="10"/>
      <c r="J16" s="11"/>
      <c r="K16" s="12"/>
    </row>
    <row r="17" spans="1:11" ht="75.75" customHeight="1" thickTop="1" thickBot="1" x14ac:dyDescent="0.35">
      <c r="A17" s="5">
        <v>15</v>
      </c>
      <c r="B17" s="6"/>
      <c r="C17" s="7"/>
      <c r="D17" s="7"/>
      <c r="E17" s="7"/>
      <c r="F17" s="7"/>
      <c r="G17" s="7"/>
      <c r="H17" s="12"/>
      <c r="I17" s="10"/>
      <c r="J17" s="11"/>
      <c r="K17" s="12"/>
    </row>
    <row r="18" spans="1:11" ht="75.75" customHeight="1" thickTop="1" thickBot="1" x14ac:dyDescent="0.35">
      <c r="A18" s="5">
        <v>16</v>
      </c>
      <c r="B18" s="6"/>
      <c r="C18" s="7"/>
      <c r="D18" s="7"/>
      <c r="E18" s="7"/>
      <c r="F18" s="7"/>
      <c r="G18" s="7"/>
      <c r="H18" s="12"/>
      <c r="I18" s="10"/>
      <c r="J18" s="11"/>
      <c r="K18" s="12"/>
    </row>
    <row r="19" spans="1:11" ht="75.75" customHeight="1" thickTop="1" thickBot="1" x14ac:dyDescent="0.35">
      <c r="A19" s="5">
        <v>17</v>
      </c>
      <c r="B19" s="6"/>
      <c r="C19" s="7"/>
      <c r="D19" s="7"/>
      <c r="E19" s="7"/>
      <c r="F19" s="7"/>
      <c r="G19" s="7"/>
      <c r="H19" s="12"/>
      <c r="I19" s="10"/>
      <c r="J19" s="11"/>
      <c r="K19" s="12"/>
    </row>
    <row r="20" spans="1:11" ht="75.75" customHeight="1" thickTop="1" thickBot="1" x14ac:dyDescent="0.35">
      <c r="A20" s="5">
        <v>18</v>
      </c>
      <c r="B20" s="6"/>
      <c r="C20" s="7"/>
      <c r="D20" s="7"/>
      <c r="E20" s="7"/>
      <c r="F20" s="7"/>
      <c r="G20" s="7"/>
      <c r="H20" s="12"/>
      <c r="I20" s="10"/>
      <c r="J20" s="11"/>
      <c r="K20" s="12"/>
    </row>
    <row r="21" spans="1:11" ht="75.75" customHeight="1" thickTop="1" thickBot="1" x14ac:dyDescent="0.35">
      <c r="A21" s="5">
        <v>19</v>
      </c>
      <c r="B21" s="6"/>
      <c r="C21" s="7"/>
      <c r="D21" s="7"/>
      <c r="E21" s="7"/>
      <c r="F21" s="7"/>
      <c r="G21" s="7"/>
      <c r="H21" s="12"/>
      <c r="I21" s="10"/>
      <c r="J21" s="11"/>
      <c r="K21" s="12"/>
    </row>
    <row r="22" spans="1:11" ht="75.75" customHeight="1" thickTop="1" thickBot="1" x14ac:dyDescent="0.35">
      <c r="A22" s="5">
        <v>20</v>
      </c>
      <c r="B22" s="6"/>
      <c r="C22" s="7"/>
      <c r="D22" s="7"/>
      <c r="E22" s="7"/>
      <c r="F22" s="7"/>
      <c r="G22" s="7"/>
      <c r="H22" s="12"/>
      <c r="I22" s="10"/>
      <c r="J22" s="11"/>
      <c r="K22" s="12"/>
    </row>
    <row r="23" spans="1:11" ht="75.75" customHeight="1" thickTop="1" thickBot="1" x14ac:dyDescent="0.35">
      <c r="A23" s="5">
        <v>21</v>
      </c>
      <c r="B23" s="6"/>
      <c r="C23" s="7"/>
      <c r="D23" s="7"/>
      <c r="E23" s="7"/>
      <c r="F23" s="7"/>
      <c r="G23" s="7"/>
      <c r="H23" s="12"/>
      <c r="I23" s="10"/>
      <c r="J23" s="11"/>
      <c r="K23" s="12"/>
    </row>
    <row r="24" spans="1:11" ht="75.75" customHeight="1" thickTop="1" thickBot="1" x14ac:dyDescent="0.35">
      <c r="A24" s="5">
        <v>22</v>
      </c>
      <c r="B24" s="6"/>
      <c r="C24" s="7"/>
      <c r="D24" s="7"/>
      <c r="E24" s="7"/>
      <c r="F24" s="7"/>
      <c r="G24" s="7"/>
      <c r="H24" s="12"/>
      <c r="I24" s="10"/>
      <c r="J24" s="11"/>
      <c r="K24" s="12"/>
    </row>
    <row r="25" spans="1:11" ht="75.75" customHeight="1" thickTop="1" thickBot="1" x14ac:dyDescent="0.35">
      <c r="A25" s="5">
        <v>23</v>
      </c>
      <c r="B25" s="6"/>
      <c r="C25" s="7"/>
      <c r="D25" s="7"/>
      <c r="E25" s="7"/>
      <c r="F25" s="7"/>
      <c r="G25" s="7"/>
      <c r="H25" s="12"/>
      <c r="I25" s="10"/>
      <c r="J25" s="11"/>
      <c r="K25" s="12"/>
    </row>
    <row r="26" spans="1:11" ht="75.75" customHeight="1" thickTop="1" thickBot="1" x14ac:dyDescent="0.35">
      <c r="A26" s="5">
        <v>24</v>
      </c>
      <c r="B26" s="6"/>
      <c r="C26" s="7"/>
      <c r="D26" s="7"/>
      <c r="E26" s="7"/>
      <c r="F26" s="7"/>
      <c r="G26" s="7"/>
      <c r="H26" s="12"/>
      <c r="I26" s="10"/>
      <c r="J26" s="11"/>
      <c r="K26" s="12"/>
    </row>
    <row r="27" spans="1:11" ht="75.75" customHeight="1" thickTop="1" thickBot="1" x14ac:dyDescent="0.35">
      <c r="A27" s="5">
        <v>25</v>
      </c>
      <c r="B27" s="6"/>
      <c r="C27" s="7"/>
      <c r="D27" s="7"/>
      <c r="E27" s="7"/>
      <c r="F27" s="7"/>
      <c r="G27" s="7"/>
      <c r="H27" s="12"/>
      <c r="I27" s="10"/>
      <c r="J27" s="11"/>
      <c r="K27" s="12"/>
    </row>
    <row r="28" spans="1:11" ht="75.75" customHeight="1" thickTop="1" thickBot="1" x14ac:dyDescent="0.35">
      <c r="A28" s="5">
        <v>26</v>
      </c>
      <c r="B28" s="6"/>
      <c r="C28" s="7"/>
      <c r="D28" s="7"/>
      <c r="E28" s="7"/>
      <c r="F28" s="7"/>
      <c r="G28" s="7"/>
      <c r="H28" s="12"/>
      <c r="I28" s="10"/>
      <c r="J28" s="11"/>
      <c r="K28" s="12"/>
    </row>
    <row r="29" spans="1:11" ht="75.75" customHeight="1" thickTop="1" thickBot="1" x14ac:dyDescent="0.35">
      <c r="A29" s="5">
        <v>27</v>
      </c>
      <c r="B29" s="6"/>
      <c r="C29" s="7"/>
      <c r="D29" s="7"/>
      <c r="E29" s="7"/>
      <c r="F29" s="7"/>
      <c r="G29" s="7"/>
      <c r="H29" s="12"/>
      <c r="I29" s="10"/>
      <c r="J29" s="11"/>
      <c r="K29" s="12"/>
    </row>
    <row r="30" spans="1:11" ht="75.75" customHeight="1" thickTop="1" thickBot="1" x14ac:dyDescent="0.35">
      <c r="A30" s="5">
        <v>28</v>
      </c>
      <c r="B30" s="6"/>
      <c r="C30" s="7"/>
      <c r="D30" s="7"/>
      <c r="E30" s="7"/>
      <c r="F30" s="7"/>
      <c r="G30" s="7"/>
      <c r="H30" s="12"/>
      <c r="I30" s="10"/>
      <c r="J30" s="11"/>
      <c r="K30" s="12"/>
    </row>
    <row r="31" spans="1:11" ht="75.75" customHeight="1" thickTop="1" thickBot="1" x14ac:dyDescent="0.35">
      <c r="A31" s="5">
        <v>29</v>
      </c>
      <c r="B31" s="6"/>
      <c r="C31" s="7"/>
      <c r="D31" s="7"/>
      <c r="E31" s="7"/>
      <c r="F31" s="7"/>
      <c r="G31" s="7"/>
      <c r="H31" s="12"/>
      <c r="I31" s="10"/>
      <c r="J31" s="11"/>
      <c r="K31" s="12"/>
    </row>
    <row r="32" spans="1:11" ht="75.75" customHeight="1" thickTop="1" thickBot="1" x14ac:dyDescent="0.35">
      <c r="A32" s="5">
        <v>30</v>
      </c>
      <c r="B32" s="6"/>
      <c r="C32" s="7"/>
      <c r="D32" s="7"/>
      <c r="E32" s="7"/>
      <c r="F32" s="7"/>
      <c r="G32" s="7"/>
      <c r="H32" s="12"/>
      <c r="I32" s="10"/>
      <c r="J32" s="11"/>
      <c r="K32" s="12"/>
    </row>
    <row r="33" spans="1:11" ht="75.75" customHeight="1" thickTop="1" thickBot="1" x14ac:dyDescent="0.35">
      <c r="A33" s="5">
        <v>31</v>
      </c>
      <c r="B33" s="6"/>
      <c r="C33" s="7"/>
      <c r="D33" s="7"/>
      <c r="E33" s="7"/>
      <c r="F33" s="7"/>
      <c r="G33" s="7"/>
      <c r="H33" s="12"/>
      <c r="I33" s="10"/>
      <c r="J33" s="11"/>
      <c r="K33" s="12"/>
    </row>
    <row r="34" spans="1:11" ht="75.75" customHeight="1" thickTop="1" thickBot="1" x14ac:dyDescent="0.35">
      <c r="A34" s="5">
        <v>32</v>
      </c>
      <c r="B34" s="6"/>
      <c r="C34" s="7"/>
      <c r="D34" s="7"/>
      <c r="E34" s="7"/>
      <c r="F34" s="7"/>
      <c r="G34" s="7"/>
      <c r="H34" s="12"/>
      <c r="I34" s="10"/>
      <c r="J34" s="11"/>
      <c r="K34" s="12"/>
    </row>
    <row r="35" spans="1:11" ht="75.75" customHeight="1" thickTop="1" thickBot="1" x14ac:dyDescent="0.35">
      <c r="A35" s="5">
        <v>33</v>
      </c>
      <c r="B35" s="6"/>
      <c r="C35" s="7"/>
      <c r="D35" s="7"/>
      <c r="E35" s="7"/>
      <c r="F35" s="7"/>
      <c r="G35" s="7"/>
      <c r="H35" s="12"/>
      <c r="I35" s="10"/>
      <c r="J35" s="11"/>
      <c r="K35" s="12"/>
    </row>
    <row r="36" spans="1:11" ht="75.75" customHeight="1" thickTop="1" thickBot="1" x14ac:dyDescent="0.35">
      <c r="A36" s="5">
        <v>34</v>
      </c>
      <c r="B36" s="6"/>
      <c r="C36" s="7"/>
      <c r="D36" s="7"/>
      <c r="E36" s="7"/>
      <c r="F36" s="7"/>
      <c r="G36" s="7"/>
      <c r="H36" s="12"/>
      <c r="I36" s="10"/>
      <c r="J36" s="11"/>
      <c r="K36" s="12"/>
    </row>
    <row r="37" spans="1:11" ht="75.75" customHeight="1" thickTop="1" thickBot="1" x14ac:dyDescent="0.35">
      <c r="A37" s="5">
        <v>35</v>
      </c>
      <c r="B37" s="6"/>
      <c r="C37" s="7"/>
      <c r="D37" s="7"/>
      <c r="E37" s="7"/>
      <c r="F37" s="7"/>
      <c r="G37" s="7"/>
      <c r="H37" s="12"/>
      <c r="I37" s="10"/>
      <c r="J37" s="11"/>
      <c r="K37" s="12"/>
    </row>
    <row r="38" spans="1:11" ht="75.75" customHeight="1" thickTop="1" thickBot="1" x14ac:dyDescent="0.35">
      <c r="A38" s="5">
        <v>36</v>
      </c>
      <c r="B38" s="6"/>
      <c r="C38" s="7"/>
      <c r="D38" s="7"/>
      <c r="E38" s="7"/>
      <c r="F38" s="7"/>
      <c r="G38" s="7"/>
      <c r="H38" s="12"/>
      <c r="I38" s="10"/>
      <c r="J38" s="11"/>
      <c r="K38" s="12"/>
    </row>
    <row r="39" spans="1:11" ht="75.75" customHeight="1" thickTop="1" thickBot="1" x14ac:dyDescent="0.35">
      <c r="A39" s="5">
        <v>37</v>
      </c>
      <c r="B39" s="6"/>
      <c r="C39" s="7"/>
      <c r="D39" s="7"/>
      <c r="E39" s="7"/>
      <c r="F39" s="7"/>
      <c r="G39" s="7"/>
      <c r="H39" s="12"/>
      <c r="I39" s="10"/>
      <c r="J39" s="11"/>
      <c r="K39" s="12"/>
    </row>
    <row r="40" spans="1:11" ht="75.75" customHeight="1" thickTop="1" thickBot="1" x14ac:dyDescent="0.35">
      <c r="A40" s="5">
        <v>38</v>
      </c>
      <c r="B40" s="6"/>
      <c r="C40" s="7"/>
      <c r="D40" s="7"/>
      <c r="E40" s="7"/>
      <c r="F40" s="7"/>
      <c r="G40" s="7"/>
      <c r="H40" s="12"/>
      <c r="I40" s="10"/>
      <c r="J40" s="11"/>
      <c r="K40" s="12"/>
    </row>
    <row r="41" spans="1:11" ht="75.75" customHeight="1" thickTop="1" thickBot="1" x14ac:dyDescent="0.35">
      <c r="A41" s="5">
        <v>39</v>
      </c>
      <c r="B41" s="6"/>
      <c r="C41" s="7"/>
      <c r="D41" s="7"/>
      <c r="E41" s="7"/>
      <c r="F41" s="7"/>
      <c r="G41" s="7"/>
      <c r="H41" s="12"/>
      <c r="I41" s="10"/>
      <c r="J41" s="11"/>
      <c r="K41" s="12"/>
    </row>
    <row r="42" spans="1:11" ht="75.75" customHeight="1" thickTop="1" thickBot="1" x14ac:dyDescent="0.35">
      <c r="A42" s="5">
        <v>40</v>
      </c>
      <c r="B42" s="6"/>
      <c r="C42" s="7"/>
      <c r="D42" s="7"/>
      <c r="E42" s="7"/>
      <c r="F42" s="7"/>
      <c r="G42" s="7"/>
      <c r="H42" s="12"/>
      <c r="I42" s="10"/>
      <c r="J42" s="11"/>
      <c r="K42" s="12"/>
    </row>
    <row r="43" spans="1:11" ht="75.75" customHeight="1" thickTop="1" thickBot="1" x14ac:dyDescent="0.35">
      <c r="A43" s="5">
        <v>41</v>
      </c>
      <c r="B43" s="6"/>
      <c r="C43" s="7"/>
      <c r="D43" s="7"/>
      <c r="E43" s="7"/>
      <c r="F43" s="7"/>
      <c r="G43" s="7"/>
      <c r="H43" s="12"/>
      <c r="I43" s="10"/>
      <c r="J43" s="11"/>
      <c r="K43" s="12"/>
    </row>
    <row r="44" spans="1:11" ht="75.75" customHeight="1" thickTop="1" thickBot="1" x14ac:dyDescent="0.35">
      <c r="A44" s="5">
        <v>42</v>
      </c>
      <c r="B44" s="6"/>
      <c r="C44" s="7"/>
      <c r="D44" s="7"/>
      <c r="E44" s="7"/>
      <c r="F44" s="7"/>
      <c r="G44" s="7"/>
      <c r="H44" s="12"/>
      <c r="I44" s="10"/>
      <c r="J44" s="11"/>
      <c r="K44" s="12"/>
    </row>
    <row r="45" spans="1:11" ht="75.75" customHeight="1" thickTop="1" thickBot="1" x14ac:dyDescent="0.35">
      <c r="A45" s="5">
        <v>43</v>
      </c>
      <c r="B45" s="6"/>
      <c r="C45" s="7"/>
      <c r="D45" s="7"/>
      <c r="E45" s="7"/>
      <c r="F45" s="7"/>
      <c r="G45" s="7"/>
      <c r="H45" s="12"/>
      <c r="I45" s="10"/>
      <c r="J45" s="11"/>
      <c r="K45" s="12"/>
    </row>
    <row r="46" spans="1:11" ht="75.75" customHeight="1" thickTop="1" thickBot="1" x14ac:dyDescent="0.35">
      <c r="A46" s="5">
        <v>44</v>
      </c>
      <c r="B46" s="6"/>
      <c r="C46" s="7"/>
      <c r="D46" s="7"/>
      <c r="E46" s="7"/>
      <c r="F46" s="7"/>
      <c r="G46" s="7"/>
      <c r="H46" s="12"/>
      <c r="I46" s="10"/>
      <c r="J46" s="11"/>
      <c r="K46" s="12"/>
    </row>
    <row r="47" spans="1:11" ht="75.75" customHeight="1" thickTop="1" thickBot="1" x14ac:dyDescent="0.35">
      <c r="A47" s="5">
        <v>45</v>
      </c>
      <c r="B47" s="6"/>
      <c r="C47" s="7"/>
      <c r="D47" s="7"/>
      <c r="E47" s="7"/>
      <c r="F47" s="7"/>
      <c r="G47" s="7"/>
      <c r="H47" s="12"/>
      <c r="I47" s="10"/>
      <c r="J47" s="11"/>
      <c r="K47" s="12"/>
    </row>
    <row r="48" spans="1:11" ht="75.75" customHeight="1" thickTop="1" thickBot="1" x14ac:dyDescent="0.35">
      <c r="A48" s="5">
        <v>46</v>
      </c>
      <c r="B48" s="6"/>
      <c r="C48" s="7"/>
      <c r="D48" s="7"/>
      <c r="E48" s="7"/>
      <c r="F48" s="7"/>
      <c r="G48" s="7"/>
      <c r="H48" s="12"/>
      <c r="I48" s="10"/>
      <c r="J48" s="11"/>
      <c r="K48" s="12"/>
    </row>
    <row r="49" spans="1:11" ht="75.75" customHeight="1" thickTop="1" thickBot="1" x14ac:dyDescent="0.35">
      <c r="A49" s="5">
        <v>47</v>
      </c>
      <c r="B49" s="6"/>
      <c r="C49" s="7"/>
      <c r="D49" s="7"/>
      <c r="E49" s="7"/>
      <c r="F49" s="7"/>
      <c r="G49" s="7"/>
      <c r="H49" s="12"/>
      <c r="I49" s="10"/>
      <c r="J49" s="11"/>
      <c r="K49" s="12"/>
    </row>
    <row r="50" spans="1:11" ht="75.75" customHeight="1" thickTop="1" thickBot="1" x14ac:dyDescent="0.35">
      <c r="A50" s="5">
        <v>48</v>
      </c>
      <c r="B50" s="6"/>
      <c r="C50" s="7"/>
      <c r="D50" s="7"/>
      <c r="E50" s="7"/>
      <c r="F50" s="7"/>
      <c r="G50" s="7"/>
      <c r="H50" s="12"/>
      <c r="I50" s="10"/>
      <c r="J50" s="11"/>
      <c r="K50" s="12"/>
    </row>
    <row r="51" spans="1:11" ht="75.75" customHeight="1" thickTop="1" thickBot="1" x14ac:dyDescent="0.35">
      <c r="A51" s="5">
        <v>49</v>
      </c>
      <c r="B51" s="6"/>
      <c r="C51" s="7"/>
      <c r="D51" s="7"/>
      <c r="E51" s="7"/>
      <c r="F51" s="7"/>
      <c r="G51" s="7"/>
      <c r="H51" s="12"/>
      <c r="I51" s="10"/>
      <c r="J51" s="11"/>
      <c r="K51" s="12"/>
    </row>
    <row r="52" spans="1:11" ht="75.75" customHeight="1" thickTop="1" thickBot="1" x14ac:dyDescent="0.35">
      <c r="A52" s="5">
        <v>50</v>
      </c>
      <c r="B52" s="6"/>
      <c r="C52" s="7"/>
      <c r="D52" s="7"/>
      <c r="E52" s="7"/>
      <c r="F52" s="7"/>
      <c r="G52" s="7"/>
      <c r="H52" s="12"/>
      <c r="I52" s="10"/>
      <c r="J52" s="11"/>
      <c r="K52" s="12"/>
    </row>
    <row r="53" spans="1:11" ht="75.75" customHeight="1" thickTop="1" thickBot="1" x14ac:dyDescent="0.35">
      <c r="A53" s="5">
        <v>51</v>
      </c>
      <c r="B53" s="6"/>
      <c r="C53" s="7"/>
      <c r="D53" s="7"/>
      <c r="E53" s="7"/>
      <c r="F53" s="7"/>
      <c r="G53" s="7"/>
      <c r="H53" s="12"/>
      <c r="I53" s="10"/>
      <c r="J53" s="11"/>
      <c r="K53" s="12"/>
    </row>
    <row r="54" spans="1:11" ht="75.75" customHeight="1" thickTop="1" thickBot="1" x14ac:dyDescent="0.35">
      <c r="A54" s="5">
        <v>52</v>
      </c>
      <c r="B54" s="6"/>
      <c r="C54" s="7"/>
      <c r="D54" s="7"/>
      <c r="E54" s="7"/>
      <c r="F54" s="7"/>
      <c r="G54" s="7"/>
      <c r="H54" s="12"/>
      <c r="I54" s="10"/>
      <c r="J54" s="11"/>
      <c r="K54" s="12"/>
    </row>
    <row r="55" spans="1:11" ht="75.75" customHeight="1" thickTop="1" thickBot="1" x14ac:dyDescent="0.35">
      <c r="A55" s="5">
        <v>53</v>
      </c>
      <c r="B55" s="6"/>
      <c r="C55" s="7"/>
      <c r="D55" s="7"/>
      <c r="E55" s="7"/>
      <c r="F55" s="7"/>
      <c r="G55" s="7"/>
      <c r="H55" s="12"/>
      <c r="I55" s="10"/>
      <c r="J55" s="11"/>
      <c r="K55" s="12"/>
    </row>
    <row r="56" spans="1:11" ht="75.75" customHeight="1" thickTop="1" thickBot="1" x14ac:dyDescent="0.35">
      <c r="A56" s="5">
        <v>54</v>
      </c>
      <c r="B56" s="6"/>
      <c r="C56" s="7"/>
      <c r="D56" s="7"/>
      <c r="E56" s="7"/>
      <c r="F56" s="7"/>
      <c r="G56" s="7"/>
      <c r="H56" s="12"/>
      <c r="I56" s="10"/>
      <c r="J56" s="11"/>
      <c r="K56" s="12"/>
    </row>
    <row r="57" spans="1:11" ht="75.75" customHeight="1" thickTop="1" thickBot="1" x14ac:dyDescent="0.35">
      <c r="A57" s="5">
        <v>55</v>
      </c>
      <c r="B57" s="6"/>
      <c r="C57" s="7"/>
      <c r="D57" s="7"/>
      <c r="E57" s="7"/>
      <c r="F57" s="7"/>
      <c r="G57" s="7"/>
      <c r="H57" s="12"/>
      <c r="I57" s="10"/>
      <c r="J57" s="11"/>
      <c r="K57" s="12"/>
    </row>
    <row r="58" spans="1:11" ht="75.75" customHeight="1" thickTop="1" thickBot="1" x14ac:dyDescent="0.35">
      <c r="A58" s="5">
        <v>56</v>
      </c>
      <c r="B58" s="6"/>
      <c r="C58" s="7"/>
      <c r="D58" s="7"/>
      <c r="E58" s="7"/>
      <c r="F58" s="7"/>
      <c r="G58" s="7"/>
      <c r="H58" s="12"/>
      <c r="I58" s="10"/>
      <c r="J58" s="11"/>
      <c r="K58" s="12"/>
    </row>
    <row r="59" spans="1:11" ht="75.75" customHeight="1" thickTop="1" thickBot="1" x14ac:dyDescent="0.35">
      <c r="A59" s="5">
        <v>57</v>
      </c>
      <c r="B59" s="6"/>
      <c r="C59" s="7"/>
      <c r="D59" s="7"/>
      <c r="E59" s="7"/>
      <c r="F59" s="7"/>
      <c r="G59" s="7"/>
      <c r="H59" s="12"/>
      <c r="I59" s="10"/>
      <c r="J59" s="11"/>
      <c r="K59" s="12"/>
    </row>
    <row r="60" spans="1:11" ht="75.75" customHeight="1" thickTop="1" thickBot="1" x14ac:dyDescent="0.35">
      <c r="A60" s="5">
        <v>58</v>
      </c>
      <c r="B60" s="6"/>
      <c r="C60" s="7"/>
      <c r="D60" s="7"/>
      <c r="E60" s="7"/>
      <c r="F60" s="7"/>
      <c r="G60" s="7"/>
      <c r="H60" s="12"/>
      <c r="I60" s="10"/>
      <c r="J60" s="11"/>
      <c r="K60" s="12"/>
    </row>
    <row r="61" spans="1:11" ht="75.75" customHeight="1" thickTop="1" thickBot="1" x14ac:dyDescent="0.35">
      <c r="A61" s="5">
        <v>59</v>
      </c>
      <c r="B61" s="6"/>
      <c r="C61" s="7"/>
      <c r="D61" s="7"/>
      <c r="E61" s="7"/>
      <c r="F61" s="7"/>
      <c r="G61" s="7"/>
      <c r="H61" s="12"/>
      <c r="I61" s="10"/>
      <c r="J61" s="11"/>
      <c r="K61" s="12"/>
    </row>
    <row r="62" spans="1:11" ht="75.75" customHeight="1" thickTop="1" thickBot="1" x14ac:dyDescent="0.35">
      <c r="A62" s="5">
        <v>60</v>
      </c>
      <c r="B62" s="6"/>
      <c r="C62" s="7"/>
      <c r="D62" s="7"/>
      <c r="E62" s="7"/>
      <c r="F62" s="7"/>
      <c r="G62" s="7"/>
      <c r="H62" s="12"/>
      <c r="I62" s="10"/>
      <c r="J62" s="11"/>
      <c r="K62" s="12"/>
    </row>
    <row r="63" spans="1:11" ht="75.75" customHeight="1" thickTop="1" thickBot="1" x14ac:dyDescent="0.35">
      <c r="A63" s="5">
        <v>61</v>
      </c>
      <c r="B63" s="6"/>
      <c r="C63" s="7"/>
      <c r="D63" s="7"/>
      <c r="E63" s="7"/>
      <c r="F63" s="7"/>
      <c r="G63" s="7"/>
      <c r="H63" s="12"/>
      <c r="I63" s="10"/>
      <c r="J63" s="11"/>
      <c r="K63" s="12"/>
    </row>
    <row r="64" spans="1:11" ht="75.75" customHeight="1" thickTop="1" thickBot="1" x14ac:dyDescent="0.35">
      <c r="A64" s="5">
        <v>62</v>
      </c>
      <c r="B64" s="6"/>
      <c r="C64" s="7"/>
      <c r="D64" s="7"/>
      <c r="E64" s="7"/>
      <c r="F64" s="7"/>
      <c r="G64" s="7"/>
      <c r="H64" s="12"/>
      <c r="I64" s="10"/>
      <c r="J64" s="11"/>
      <c r="K64" s="12"/>
    </row>
    <row r="65" spans="1:11" ht="75.75" customHeight="1" thickTop="1" thickBot="1" x14ac:dyDescent="0.35">
      <c r="A65" s="5">
        <v>63</v>
      </c>
      <c r="B65" s="6"/>
      <c r="C65" s="7"/>
      <c r="D65" s="7"/>
      <c r="E65" s="7"/>
      <c r="F65" s="7"/>
      <c r="G65" s="7"/>
      <c r="H65" s="12"/>
      <c r="I65" s="10"/>
      <c r="J65" s="11"/>
      <c r="K65" s="12"/>
    </row>
    <row r="66" spans="1:11" ht="75.75" customHeight="1" thickTop="1" thickBot="1" x14ac:dyDescent="0.35">
      <c r="A66" s="5">
        <v>64</v>
      </c>
      <c r="B66" s="6"/>
      <c r="C66" s="7"/>
      <c r="D66" s="7"/>
      <c r="E66" s="7"/>
      <c r="F66" s="7"/>
      <c r="G66" s="7"/>
      <c r="H66" s="12"/>
      <c r="I66" s="10"/>
      <c r="J66" s="11"/>
      <c r="K66" s="12"/>
    </row>
    <row r="67" spans="1:11" ht="75.75" customHeight="1" thickTop="1" thickBot="1" x14ac:dyDescent="0.35">
      <c r="A67" s="5">
        <v>65</v>
      </c>
      <c r="B67" s="6"/>
      <c r="C67" s="7"/>
      <c r="D67" s="7"/>
      <c r="E67" s="7"/>
      <c r="F67" s="7"/>
      <c r="G67" s="7"/>
      <c r="H67" s="12"/>
      <c r="I67" s="10"/>
      <c r="J67" s="11"/>
      <c r="K67" s="12"/>
    </row>
    <row r="68" spans="1:11" ht="75.75" customHeight="1" thickTop="1" thickBot="1" x14ac:dyDescent="0.35">
      <c r="A68" s="5">
        <v>66</v>
      </c>
      <c r="B68" s="6"/>
      <c r="C68" s="7"/>
      <c r="D68" s="7"/>
      <c r="E68" s="7"/>
      <c r="F68" s="7"/>
      <c r="G68" s="7"/>
      <c r="H68" s="12"/>
      <c r="I68" s="10"/>
      <c r="J68" s="11"/>
      <c r="K68" s="12"/>
    </row>
    <row r="69" spans="1:11" ht="75.75" customHeight="1" thickTop="1" thickBot="1" x14ac:dyDescent="0.35">
      <c r="A69" s="5">
        <v>67</v>
      </c>
      <c r="B69" s="6"/>
      <c r="C69" s="7"/>
      <c r="D69" s="7"/>
      <c r="E69" s="7"/>
      <c r="F69" s="7"/>
      <c r="G69" s="7"/>
      <c r="H69" s="12"/>
      <c r="I69" s="10"/>
      <c r="J69" s="11"/>
      <c r="K69" s="12"/>
    </row>
    <row r="70" spans="1:11" ht="75.75" customHeight="1" thickTop="1" thickBot="1" x14ac:dyDescent="0.35">
      <c r="A70" s="5">
        <v>68</v>
      </c>
      <c r="B70" s="6"/>
      <c r="C70" s="7"/>
      <c r="D70" s="7"/>
      <c r="E70" s="7"/>
      <c r="F70" s="7"/>
      <c r="G70" s="7"/>
      <c r="H70" s="12"/>
      <c r="I70" s="10"/>
      <c r="J70" s="11"/>
      <c r="K70" s="12"/>
    </row>
    <row r="71" spans="1:11" ht="75.75" customHeight="1" thickTop="1" thickBot="1" x14ac:dyDescent="0.35">
      <c r="A71" s="5">
        <v>69</v>
      </c>
      <c r="B71" s="6"/>
      <c r="C71" s="7"/>
      <c r="D71" s="7"/>
      <c r="E71" s="7"/>
      <c r="F71" s="7"/>
      <c r="G71" s="7"/>
      <c r="H71" s="12"/>
      <c r="I71" s="10"/>
      <c r="J71" s="11"/>
      <c r="K71" s="12"/>
    </row>
    <row r="72" spans="1:11" ht="62.4" thickTop="1" thickBot="1" x14ac:dyDescent="0.35">
      <c r="A72" s="15"/>
      <c r="B72" s="16"/>
      <c r="C72" s="16"/>
      <c r="D72" s="16"/>
      <c r="E72" s="16"/>
      <c r="F72" s="16"/>
      <c r="G72" s="16"/>
      <c r="H72" s="16"/>
      <c r="I72" s="25">
        <f>SUBTOTAL(109,Tabla25[RECORRIDO PROMEDIO DIARIO])</f>
        <v>0</v>
      </c>
      <c r="J72" s="26">
        <f>SUBTOTAL(109,Tabla25[RECORRIDO PROMEDIO SEMANAL])</f>
        <v>0</v>
      </c>
      <c r="K72" s="25">
        <f>SUBTOTAL(109,Tabla25[RECORRIDO PROMEDIO MENSUAL])</f>
        <v>0</v>
      </c>
    </row>
    <row r="73" spans="1:11" ht="15" thickTop="1" x14ac:dyDescent="0.3"/>
  </sheetData>
  <mergeCells count="2">
    <mergeCell ref="E1:I1"/>
    <mergeCell ref="J1:K1"/>
  </mergeCells>
  <conditionalFormatting sqref="K3:K71">
    <cfRule type="iconSet" priority="2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RECORRIDO MENSUAL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x5</dc:creator>
  <cp:lastModifiedBy>x5</cp:lastModifiedBy>
  <dcterms:created xsi:type="dcterms:W3CDTF">2026-03-09T15:20:43Z</dcterms:created>
  <dcterms:modified xsi:type="dcterms:W3CDTF">2026-03-09T15:37:27Z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2026-03-09T15:23:08Z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56bf1f5f-03e0-4412-ba54-17b80255dc75</vt:lpwstr>
  </property>
  <property fmtid="{D5CDD505-2E9C-101B-9397-08002B2CF9AE}" pid="7" name="MSIP_Label_defa4170-0d19-0005-0004-bc88714345d2_ActionId">
    <vt:lpwstr>5097ffde-df4e-4fb0-b474-fc84ccb575f1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